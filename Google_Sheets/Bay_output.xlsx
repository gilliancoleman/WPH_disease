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liancoleman/WPH/"/>
    </mc:Choice>
  </mc:AlternateContent>
  <xr:revisionPtr revIDLastSave="0" documentId="13_ncr:1_{C00B1E98-C5A6-154F-AA1D-409402BC8A57}" xr6:coauthVersionLast="47" xr6:coauthVersionMax="47" xr10:uidLastSave="{00000000-0000-0000-0000-000000000000}"/>
  <bookViews>
    <workbookView xWindow="360" yWindow="500" windowWidth="28040" windowHeight="16280" xr2:uid="{60CAC18D-A803-E245-BA3B-41117C94C735}"/>
  </bookViews>
  <sheets>
    <sheet name="WPH80" sheetId="1" r:id="rId1"/>
    <sheet name="SCTLD80" sheetId="2" r:id="rId2"/>
    <sheet name="Unknown80" sheetId="3" r:id="rId3"/>
    <sheet name="WPH95" sheetId="4" r:id="rId4"/>
    <sheet name="SCTLD95" sheetId="5" r:id="rId5"/>
    <sheet name="Unknown9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7" i="3"/>
  <c r="C6" i="1"/>
  <c r="C4" i="1"/>
</calcChain>
</file>

<file path=xl/sharedStrings.xml><?xml version="1.0" encoding="utf-8"?>
<sst xmlns="http://schemas.openxmlformats.org/spreadsheetml/2006/main" count="318" uniqueCount="69">
  <si>
    <t>#s done</t>
  </si>
  <si>
    <t>actual</t>
  </si>
  <si>
    <t>trend</t>
  </si>
  <si>
    <t>overlap 0?</t>
  </si>
  <si>
    <t>color</t>
  </si>
  <si>
    <t>[ ,1,2]</t>
  </si>
  <si>
    <t>[ ,1,3]</t>
  </si>
  <si>
    <t>[ ,1,4]</t>
  </si>
  <si>
    <t>[ ,1,5]</t>
  </si>
  <si>
    <t>[ ,1,6]</t>
  </si>
  <si>
    <t>[ ,1,1]</t>
  </si>
  <si>
    <t>OFRA intercept</t>
  </si>
  <si>
    <t>OFRA prop exo</t>
  </si>
  <si>
    <t>OFRA gastro</t>
  </si>
  <si>
    <t>OFRA symb vac</t>
  </si>
  <si>
    <t>OFRA avg symb</t>
  </si>
  <si>
    <t>OFRA degr symb</t>
  </si>
  <si>
    <t>[ ,2,1]</t>
  </si>
  <si>
    <t>[ ,2,2]</t>
  </si>
  <si>
    <t>[ ,2,3]</t>
  </si>
  <si>
    <t>[ ,2,4]</t>
  </si>
  <si>
    <t>[ ,2,5]</t>
  </si>
  <si>
    <t>[ ,2,6]</t>
  </si>
  <si>
    <t>PAST intercept</t>
  </si>
  <si>
    <t>PAST prop exo</t>
  </si>
  <si>
    <t>PAST gastro</t>
  </si>
  <si>
    <t>PAST symb vac</t>
  </si>
  <si>
    <t>PAST avg symb</t>
  </si>
  <si>
    <t>PAST degr symb</t>
  </si>
  <si>
    <t>CNAT intercept</t>
  </si>
  <si>
    <t>CNAT prop exo</t>
  </si>
  <si>
    <t>CNAT  gastro</t>
  </si>
  <si>
    <t>CNAT  symb vac</t>
  </si>
  <si>
    <t>CNAT  avg symb</t>
  </si>
  <si>
    <t>CNAT  degr symb</t>
  </si>
  <si>
    <t>OFAV intercept</t>
  </si>
  <si>
    <t>OFAV  prop exo</t>
  </si>
  <si>
    <t>OFAV   gastro</t>
  </si>
  <si>
    <t>OFAV   symb vac</t>
  </si>
  <si>
    <t>OFAV   degr symb</t>
  </si>
  <si>
    <t>[ ,3,1]</t>
  </si>
  <si>
    <t>[ ,3,2]</t>
  </si>
  <si>
    <t>[ ,3,3]</t>
  </si>
  <si>
    <t>[ ,3,4]</t>
  </si>
  <si>
    <t>[ ,3,5]</t>
  </si>
  <si>
    <t>[ ,3,6]</t>
  </si>
  <si>
    <t>OFRA  gastro</t>
  </si>
  <si>
    <t>[ ,4,1]</t>
  </si>
  <si>
    <t>[ ,4,2]</t>
  </si>
  <si>
    <t>[ ,4,3]</t>
  </si>
  <si>
    <t>[ ,4,4]</t>
  </si>
  <si>
    <t>[ ,4,5]</t>
  </si>
  <si>
    <t>[ ,4,6]</t>
  </si>
  <si>
    <t>PAST  gastro</t>
  </si>
  <si>
    <t>[ ,5,1]</t>
  </si>
  <si>
    <t>[ ,5,2]</t>
  </si>
  <si>
    <t>[ ,5,3]</t>
  </si>
  <si>
    <t>[ ,5,4]</t>
  </si>
  <si>
    <t>[ ,5,5]</t>
  </si>
  <si>
    <t>[ ,5,6]</t>
  </si>
  <si>
    <t>PSTR intercept</t>
  </si>
  <si>
    <t>PSTR  prop exo</t>
  </si>
  <si>
    <t>PSTR gastro</t>
  </si>
  <si>
    <t>PSTR  symb vac</t>
  </si>
  <si>
    <t>PSTR  avg symb</t>
  </si>
  <si>
    <t>PSTR  degr symb</t>
  </si>
  <si>
    <t>OFAV avg symb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</si>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</sst>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2" fillId="0" borderId="0" xfId="0" applyFont="1"/>
    <xf numFmtId="10" fontId="1" fillId="0" borderId="0" xfId="0" applyNumberFormat="1" applyFont="1"/>
    <xf numFmtId="164" fontId="1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5170-DADA-CE4F-A22A-58B384A904C6}">
  <dimension ref="A1:G13"/>
  <sheetViews>
    <sheetView tabSelected="1" workbookViewId="0">
      <selection activeCell="A2" sqref="A2:A7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2">
        <v>0.1</v>
      </c>
      <c r="D1" s="2">
        <v>0.9</v>
      </c>
      <c r="E1" s="1" t="s">
        <v>2</v>
      </c>
      <c r="F1" s="1" t="s">
        <v>3</v>
      </c>
      <c r="G1" s="1" t="s">
        <v>4</v>
      </c>
    </row>
    <row r="2" spans="1:7" x14ac:dyDescent="0.2">
      <c r="A2" s="1" t="s">
        <v>10</v>
      </c>
      <c r="B2" s="1" t="s">
        <v>11</v>
      </c>
      <c r="C2">
        <v>7.3729370000000003</v>
      </c>
      <c r="D2">
        <v>-2.2217159999999998</v>
      </c>
      <c r="F2" t="s">
        <v>67</v>
      </c>
    </row>
    <row r="3" spans="1:7" x14ac:dyDescent="0.2">
      <c r="A3" t="s">
        <v>5</v>
      </c>
      <c r="B3" s="1" t="s">
        <v>12</v>
      </c>
      <c r="C3">
        <v>-0.1146533</v>
      </c>
      <c r="D3">
        <v>3.4208292999999999</v>
      </c>
      <c r="F3" t="s">
        <v>67</v>
      </c>
    </row>
    <row r="4" spans="1:7" s="3" customFormat="1" x14ac:dyDescent="0.2">
      <c r="A4" s="3" t="s">
        <v>6</v>
      </c>
      <c r="B4" s="3" t="s">
        <v>13</v>
      </c>
      <c r="C4" s="3">
        <f>-14.471838</f>
        <v>-14.471838</v>
      </c>
      <c r="D4" s="3">
        <v>-2.0131220000000001</v>
      </c>
      <c r="F4" s="3" t="s">
        <v>68</v>
      </c>
    </row>
    <row r="5" spans="1:7" x14ac:dyDescent="0.2">
      <c r="A5" t="s">
        <v>7</v>
      </c>
      <c r="B5" s="1" t="s">
        <v>14</v>
      </c>
      <c r="C5">
        <v>-1.8960760000000001</v>
      </c>
      <c r="D5">
        <v>3.0457450000000001</v>
      </c>
      <c r="F5" t="s">
        <v>67</v>
      </c>
    </row>
    <row r="6" spans="1:7" s="3" customFormat="1" x14ac:dyDescent="0.2">
      <c r="A6" s="3" t="s">
        <v>8</v>
      </c>
      <c r="B6" s="3" t="s">
        <v>15</v>
      </c>
      <c r="C6" s="3">
        <f>-6.3187168</f>
        <v>-6.3187167999999998</v>
      </c>
      <c r="D6" s="3">
        <v>-0.11373850000000001</v>
      </c>
      <c r="F6" s="3" t="s">
        <v>68</v>
      </c>
    </row>
    <row r="7" spans="1:7" s="3" customFormat="1" x14ac:dyDescent="0.2">
      <c r="A7" s="3" t="s">
        <v>9</v>
      </c>
      <c r="B7" s="3" t="s">
        <v>16</v>
      </c>
      <c r="C7" s="3">
        <v>1.163985</v>
      </c>
      <c r="D7" s="3">
        <v>16.018049000000001</v>
      </c>
      <c r="F7" s="3" t="s">
        <v>68</v>
      </c>
    </row>
    <row r="8" spans="1:7" s="3" customFormat="1" x14ac:dyDescent="0.2">
      <c r="A8" s="3" t="s">
        <v>17</v>
      </c>
      <c r="B8" s="3" t="s">
        <v>23</v>
      </c>
      <c r="C8" s="3">
        <v>-9.6890309999999999</v>
      </c>
      <c r="D8" s="3">
        <v>-1.6955990000000001</v>
      </c>
      <c r="F8" s="3" t="s">
        <v>68</v>
      </c>
    </row>
    <row r="9" spans="1:7" s="3" customFormat="1" x14ac:dyDescent="0.2">
      <c r="A9" s="3" t="s">
        <v>18</v>
      </c>
      <c r="B9" s="3" t="s">
        <v>24</v>
      </c>
      <c r="C9" s="3">
        <v>0.25984180000000001</v>
      </c>
      <c r="D9" s="3">
        <v>3.9518387000000001</v>
      </c>
      <c r="F9" s="3" t="s">
        <v>68</v>
      </c>
    </row>
    <row r="10" spans="1:7" s="3" customFormat="1" x14ac:dyDescent="0.2">
      <c r="A10" s="3" t="s">
        <v>19</v>
      </c>
      <c r="B10" s="3" t="s">
        <v>25</v>
      </c>
      <c r="C10" s="3">
        <v>-14.9768018</v>
      </c>
      <c r="D10" s="3">
        <v>-0.89654480000000003</v>
      </c>
      <c r="F10" s="3" t="s">
        <v>68</v>
      </c>
    </row>
    <row r="11" spans="1:7" s="3" customFormat="1" x14ac:dyDescent="0.2">
      <c r="A11" s="3" t="s">
        <v>20</v>
      </c>
      <c r="B11" s="3" t="s">
        <v>26</v>
      </c>
      <c r="C11" s="3">
        <v>-8.9661829999999991</v>
      </c>
      <c r="D11" s="3">
        <v>-1.3057730000000001</v>
      </c>
      <c r="F11" s="3" t="s">
        <v>68</v>
      </c>
    </row>
    <row r="12" spans="1:7" x14ac:dyDescent="0.2">
      <c r="A12" t="s">
        <v>21</v>
      </c>
      <c r="B12" s="3" t="s">
        <v>27</v>
      </c>
      <c r="C12">
        <v>-0.96054919999999999</v>
      </c>
      <c r="D12">
        <v>1.537982</v>
      </c>
      <c r="F12" s="3" t="s">
        <v>67</v>
      </c>
    </row>
    <row r="13" spans="1:7" s="3" customFormat="1" x14ac:dyDescent="0.2">
      <c r="A13" s="3" t="s">
        <v>22</v>
      </c>
      <c r="B13" s="3" t="s">
        <v>28</v>
      </c>
      <c r="C13" s="3">
        <v>1.5933729999999999</v>
      </c>
      <c r="D13" s="3">
        <v>16.695815</v>
      </c>
      <c r="F13" s="3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F8D1-0F15-4E44-BD0A-B927FE02B41C}">
  <dimension ref="A1:G7"/>
  <sheetViews>
    <sheetView workbookViewId="0">
      <selection activeCell="E2" sqref="E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2">
        <v>0.1</v>
      </c>
      <c r="D1" s="2">
        <v>0.9</v>
      </c>
      <c r="E1" s="1" t="s">
        <v>2</v>
      </c>
      <c r="F1" s="1" t="s">
        <v>3</v>
      </c>
      <c r="G1" s="1" t="s">
        <v>4</v>
      </c>
    </row>
    <row r="2" spans="1:7" s="3" customFormat="1" x14ac:dyDescent="0.2">
      <c r="A2" s="3" t="s">
        <v>10</v>
      </c>
      <c r="B2" s="3" t="s">
        <v>11</v>
      </c>
      <c r="C2" s="3">
        <v>-7.3729370000000003</v>
      </c>
      <c r="D2" s="3">
        <v>-2.2217159999999998</v>
      </c>
      <c r="F2" s="3" t="s">
        <v>68</v>
      </c>
    </row>
    <row r="3" spans="1:7" x14ac:dyDescent="0.2">
      <c r="A3" t="s">
        <v>5</v>
      </c>
      <c r="B3" s="1" t="s">
        <v>12</v>
      </c>
      <c r="C3">
        <v>-0.1146533</v>
      </c>
      <c r="D3">
        <v>3.4208292999999999</v>
      </c>
      <c r="F3" t="s">
        <v>67</v>
      </c>
    </row>
    <row r="4" spans="1:7" s="3" customFormat="1" x14ac:dyDescent="0.2">
      <c r="A4" s="3" t="s">
        <v>6</v>
      </c>
      <c r="B4" s="3" t="s">
        <v>13</v>
      </c>
      <c r="C4" s="3">
        <v>-14.471838</v>
      </c>
      <c r="D4" s="3">
        <v>-2.0131220000000001</v>
      </c>
      <c r="F4" s="3" t="s">
        <v>68</v>
      </c>
    </row>
    <row r="5" spans="1:7" x14ac:dyDescent="0.2">
      <c r="A5" t="s">
        <v>7</v>
      </c>
      <c r="B5" s="1" t="s">
        <v>14</v>
      </c>
      <c r="C5">
        <v>-1.8960760000000001</v>
      </c>
      <c r="D5">
        <v>3.0457450000000001</v>
      </c>
      <c r="F5" t="s">
        <v>67</v>
      </c>
    </row>
    <row r="6" spans="1:7" s="3" customFormat="1" x14ac:dyDescent="0.2">
      <c r="A6" s="3" t="s">
        <v>8</v>
      </c>
      <c r="B6" s="3" t="s">
        <v>15</v>
      </c>
      <c r="C6" s="3">
        <v>-6.3187167999999998</v>
      </c>
      <c r="D6" s="3">
        <v>-0.11373850000000001</v>
      </c>
      <c r="F6" s="3" t="s">
        <v>68</v>
      </c>
    </row>
    <row r="7" spans="1:7" s="3" customFormat="1" x14ac:dyDescent="0.2">
      <c r="A7" s="3" t="s">
        <v>9</v>
      </c>
      <c r="B7" s="3" t="s">
        <v>16</v>
      </c>
      <c r="C7" s="3">
        <v>1.163985</v>
      </c>
      <c r="D7" s="3">
        <v>16.018049000000001</v>
      </c>
      <c r="F7" s="3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AD50-1FBB-444C-8029-97DDAFB792A9}">
  <dimension ref="A1:G31"/>
  <sheetViews>
    <sheetView workbookViewId="0">
      <selection activeCell="B2" sqref="B2:B3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2">
        <v>0.1</v>
      </c>
      <c r="D1" s="2">
        <v>0.9</v>
      </c>
      <c r="E1" s="1" t="s">
        <v>2</v>
      </c>
      <c r="F1" s="1" t="s">
        <v>3</v>
      </c>
      <c r="G1" s="1" t="s">
        <v>4</v>
      </c>
    </row>
    <row r="2" spans="1:7" s="3" customFormat="1" x14ac:dyDescent="0.2">
      <c r="A2" s="3" t="s">
        <v>10</v>
      </c>
      <c r="B2" s="3" t="s">
        <v>29</v>
      </c>
      <c r="C2" s="3">
        <v>-1.7084234</v>
      </c>
      <c r="D2" s="3">
        <v>-0.59634949999999998</v>
      </c>
      <c r="F2" s="3" t="s">
        <v>68</v>
      </c>
    </row>
    <row r="3" spans="1:7" x14ac:dyDescent="0.2">
      <c r="A3" t="s">
        <v>5</v>
      </c>
      <c r="B3" s="1" t="s">
        <v>30</v>
      </c>
      <c r="C3">
        <v>-0.66013599999999995</v>
      </c>
      <c r="D3">
        <v>0.22763420000000001</v>
      </c>
      <c r="F3" t="s">
        <v>67</v>
      </c>
    </row>
    <row r="4" spans="1:7" s="3" customFormat="1" x14ac:dyDescent="0.2">
      <c r="A4" s="3" t="s">
        <v>6</v>
      </c>
      <c r="B4" s="3" t="s">
        <v>31</v>
      </c>
      <c r="C4" s="3">
        <v>0.7465252</v>
      </c>
      <c r="D4" s="3">
        <v>8.5192302000000009</v>
      </c>
      <c r="F4" s="3" t="s">
        <v>68</v>
      </c>
    </row>
    <row r="5" spans="1:7" x14ac:dyDescent="0.2">
      <c r="A5" t="s">
        <v>7</v>
      </c>
      <c r="B5" s="1" t="s">
        <v>32</v>
      </c>
      <c r="C5">
        <v>-0.79778729999999998</v>
      </c>
      <c r="D5">
        <v>0.46461560000000002</v>
      </c>
      <c r="F5" t="s">
        <v>67</v>
      </c>
    </row>
    <row r="6" spans="1:7" x14ac:dyDescent="0.2">
      <c r="A6" t="s">
        <v>8</v>
      </c>
      <c r="B6" s="1" t="s">
        <v>33</v>
      </c>
      <c r="C6">
        <v>-4.1754520000000003E-2</v>
      </c>
      <c r="D6">
        <v>0.90192075999999999</v>
      </c>
      <c r="F6" s="3" t="s">
        <v>67</v>
      </c>
    </row>
    <row r="7" spans="1:7" s="3" customFormat="1" x14ac:dyDescent="0.2">
      <c r="A7" s="3" t="s">
        <v>9</v>
      </c>
      <c r="B7" s="3" t="s">
        <v>34</v>
      </c>
      <c r="C7" s="3">
        <f>-1.329691779</f>
        <v>-1.329691779</v>
      </c>
      <c r="D7" s="3">
        <v>-8.7429770000000007E-3</v>
      </c>
      <c r="F7" s="3" t="s">
        <v>68</v>
      </c>
    </row>
    <row r="8" spans="1:7" s="3" customFormat="1" x14ac:dyDescent="0.2">
      <c r="A8" s="3" t="s">
        <v>17</v>
      </c>
      <c r="B8" s="3" t="s">
        <v>35</v>
      </c>
      <c r="C8" s="3">
        <v>-1.6926696999999999</v>
      </c>
      <c r="D8" s="3">
        <v>-0.5712642</v>
      </c>
      <c r="F8" s="3" t="s">
        <v>68</v>
      </c>
    </row>
    <row r="9" spans="1:7" x14ac:dyDescent="0.2">
      <c r="A9" t="s">
        <v>18</v>
      </c>
      <c r="B9" s="1" t="s">
        <v>36</v>
      </c>
      <c r="C9">
        <v>-0.61271810000000004</v>
      </c>
      <c r="D9">
        <v>0.24784120000000001</v>
      </c>
      <c r="F9" s="3" t="s">
        <v>67</v>
      </c>
    </row>
    <row r="10" spans="1:7" s="3" customFormat="1" x14ac:dyDescent="0.2">
      <c r="A10" s="3" t="s">
        <v>19</v>
      </c>
      <c r="B10" s="3" t="s">
        <v>37</v>
      </c>
      <c r="C10" s="3">
        <v>0.9615437</v>
      </c>
      <c r="D10" s="3">
        <v>8.5812431999999994</v>
      </c>
      <c r="F10" s="3" t="s">
        <v>68</v>
      </c>
    </row>
    <row r="11" spans="1:7" x14ac:dyDescent="0.2">
      <c r="A11" t="s">
        <v>20</v>
      </c>
      <c r="B11" s="1" t="s">
        <v>38</v>
      </c>
      <c r="C11">
        <v>-0.16619719999999999</v>
      </c>
      <c r="D11">
        <v>0.98519279999999998</v>
      </c>
      <c r="F11" s="3" t="s">
        <v>67</v>
      </c>
    </row>
    <row r="12" spans="1:7" x14ac:dyDescent="0.2">
      <c r="A12" t="s">
        <v>21</v>
      </c>
      <c r="B12" s="1" t="s">
        <v>66</v>
      </c>
      <c r="C12">
        <v>-6.7865780000000001E-2</v>
      </c>
      <c r="D12">
        <v>1.0470543000000001</v>
      </c>
      <c r="F12" s="3" t="s">
        <v>67</v>
      </c>
    </row>
    <row r="13" spans="1:7" s="3" customFormat="1" x14ac:dyDescent="0.2">
      <c r="A13" s="3" t="s">
        <v>22</v>
      </c>
      <c r="B13" s="3" t="s">
        <v>39</v>
      </c>
      <c r="C13" s="3">
        <f>-1.235006</f>
        <v>-1.235006</v>
      </c>
      <c r="D13" s="3">
        <v>-0.31028699999999998</v>
      </c>
      <c r="F13" s="3" t="s">
        <v>68</v>
      </c>
    </row>
    <row r="14" spans="1:7" s="3" customFormat="1" x14ac:dyDescent="0.2">
      <c r="A14" s="3" t="s">
        <v>40</v>
      </c>
      <c r="B14" s="3" t="s">
        <v>11</v>
      </c>
      <c r="C14" s="3">
        <v>-1.7575717</v>
      </c>
      <c r="D14" s="3">
        <v>-0.55423009999999995</v>
      </c>
      <c r="F14" s="3" t="s">
        <v>68</v>
      </c>
    </row>
    <row r="15" spans="1:7" x14ac:dyDescent="0.2">
      <c r="A15" t="s">
        <v>41</v>
      </c>
      <c r="B15" s="1" t="s">
        <v>12</v>
      </c>
      <c r="C15">
        <v>-0.50682119999999997</v>
      </c>
      <c r="D15">
        <v>0.67140750000000005</v>
      </c>
      <c r="F15" s="3" t="s">
        <v>67</v>
      </c>
    </row>
    <row r="16" spans="1:7" s="3" customFormat="1" x14ac:dyDescent="0.2">
      <c r="A16" s="3" t="s">
        <v>42</v>
      </c>
      <c r="B16" s="3" t="s">
        <v>46</v>
      </c>
      <c r="C16" s="3">
        <v>0.6957314</v>
      </c>
      <c r="D16" s="3">
        <v>8.5801359000000001</v>
      </c>
      <c r="F16" s="3" t="s">
        <v>68</v>
      </c>
    </row>
    <row r="17" spans="1:6" x14ac:dyDescent="0.2">
      <c r="A17" t="s">
        <v>43</v>
      </c>
      <c r="B17" s="1" t="s">
        <v>14</v>
      </c>
      <c r="C17">
        <v>-0.96875250000000002</v>
      </c>
      <c r="D17">
        <v>0.59562959999999998</v>
      </c>
      <c r="F17" s="3" t="s">
        <v>67</v>
      </c>
    </row>
    <row r="18" spans="1:6" x14ac:dyDescent="0.2">
      <c r="A18" t="s">
        <v>44</v>
      </c>
      <c r="B18" s="1" t="s">
        <v>15</v>
      </c>
      <c r="C18">
        <v>-0.40718130000000002</v>
      </c>
      <c r="D18">
        <v>0.89331380000000005</v>
      </c>
      <c r="F18" s="3" t="s">
        <v>67</v>
      </c>
    </row>
    <row r="19" spans="1:6" x14ac:dyDescent="0.2">
      <c r="A19" t="s">
        <v>45</v>
      </c>
      <c r="B19" s="1" t="s">
        <v>16</v>
      </c>
      <c r="C19">
        <v>-0.59156249999999999</v>
      </c>
      <c r="D19">
        <v>0.89889949999999996</v>
      </c>
      <c r="F19" s="3" t="s">
        <v>67</v>
      </c>
    </row>
    <row r="20" spans="1:6" s="3" customFormat="1" x14ac:dyDescent="0.2">
      <c r="A20" s="3" t="s">
        <v>47</v>
      </c>
      <c r="B20" s="3" t="s">
        <v>23</v>
      </c>
      <c r="C20" s="3">
        <v>-1.8795086999999999</v>
      </c>
      <c r="D20" s="3">
        <v>-0.40881440000000002</v>
      </c>
      <c r="F20" s="3" t="s">
        <v>68</v>
      </c>
    </row>
    <row r="21" spans="1:6" x14ac:dyDescent="0.2">
      <c r="A21" t="s">
        <v>48</v>
      </c>
      <c r="B21" s="1" t="s">
        <v>24</v>
      </c>
      <c r="C21">
        <v>-0.80643690000000001</v>
      </c>
      <c r="D21">
        <v>0.6158382</v>
      </c>
      <c r="F21" s="3" t="s">
        <v>67</v>
      </c>
    </row>
    <row r="22" spans="1:6" s="3" customFormat="1" x14ac:dyDescent="0.2">
      <c r="A22" s="3" t="s">
        <v>49</v>
      </c>
      <c r="B22" s="3" t="s">
        <v>53</v>
      </c>
      <c r="C22" s="3">
        <v>0.46186270000000001</v>
      </c>
      <c r="D22" s="3">
        <v>8.5915800000000004</v>
      </c>
      <c r="F22" s="3" t="s">
        <v>68</v>
      </c>
    </row>
    <row r="23" spans="1:6" s="3" customFormat="1" x14ac:dyDescent="0.2">
      <c r="A23" s="3" t="s">
        <v>50</v>
      </c>
      <c r="B23" s="3" t="s">
        <v>26</v>
      </c>
      <c r="C23" s="3">
        <v>-1.4850819</v>
      </c>
      <c r="D23" s="3">
        <v>-0.12962950000000001</v>
      </c>
      <c r="F23" s="3" t="s">
        <v>68</v>
      </c>
    </row>
    <row r="24" spans="1:6" x14ac:dyDescent="0.2">
      <c r="A24" t="s">
        <v>51</v>
      </c>
      <c r="B24" s="1" t="s">
        <v>27</v>
      </c>
      <c r="C24">
        <v>-0.2220172</v>
      </c>
      <c r="D24">
        <v>1.0389349999999999</v>
      </c>
      <c r="F24" s="3" t="s">
        <v>67</v>
      </c>
    </row>
    <row r="25" spans="1:6" x14ac:dyDescent="0.2">
      <c r="A25" t="s">
        <v>52</v>
      </c>
      <c r="B25" s="1" t="s">
        <v>28</v>
      </c>
      <c r="C25">
        <v>-0.52939460000000005</v>
      </c>
      <c r="D25">
        <v>1.0886477999999999</v>
      </c>
      <c r="F25" s="3" t="s">
        <v>67</v>
      </c>
    </row>
    <row r="26" spans="1:6" s="3" customFormat="1" x14ac:dyDescent="0.2">
      <c r="A26" s="3" t="s">
        <v>54</v>
      </c>
      <c r="B26" s="3" t="s">
        <v>60</v>
      </c>
      <c r="C26" s="3">
        <v>-1.5528090000000001</v>
      </c>
      <c r="D26" s="3">
        <v>-0.63487850000000001</v>
      </c>
      <c r="F26" s="3" t="s">
        <v>68</v>
      </c>
    </row>
    <row r="27" spans="1:6" x14ac:dyDescent="0.2">
      <c r="A27" t="s">
        <v>55</v>
      </c>
      <c r="B27" s="1" t="s">
        <v>61</v>
      </c>
      <c r="C27">
        <v>-0.50263950000000002</v>
      </c>
      <c r="D27">
        <v>0.17917369999999999</v>
      </c>
      <c r="F27" s="3" t="s">
        <v>67</v>
      </c>
    </row>
    <row r="28" spans="1:6" s="3" customFormat="1" x14ac:dyDescent="0.2">
      <c r="A28" s="3" t="s">
        <v>56</v>
      </c>
      <c r="B28" s="3" t="s">
        <v>62</v>
      </c>
      <c r="C28" s="3">
        <v>0.84638119999999994</v>
      </c>
      <c r="D28" s="3">
        <v>8.5253925000000006</v>
      </c>
      <c r="F28" s="3" t="s">
        <v>68</v>
      </c>
    </row>
    <row r="29" spans="1:6" x14ac:dyDescent="0.2">
      <c r="A29" t="s">
        <v>57</v>
      </c>
      <c r="B29" s="1" t="s">
        <v>63</v>
      </c>
      <c r="C29">
        <v>-0.1896765</v>
      </c>
      <c r="D29">
        <v>0.52977810000000003</v>
      </c>
      <c r="F29" s="3" t="s">
        <v>67</v>
      </c>
    </row>
    <row r="30" spans="1:6" x14ac:dyDescent="0.2">
      <c r="A30" t="s">
        <v>58</v>
      </c>
      <c r="B30" s="1" t="s">
        <v>64</v>
      </c>
      <c r="C30">
        <v>-0.35340769999999999</v>
      </c>
      <c r="D30">
        <v>0.42332049999999999</v>
      </c>
      <c r="F30" s="3" t="s">
        <v>67</v>
      </c>
    </row>
    <row r="31" spans="1:6" s="3" customFormat="1" x14ac:dyDescent="0.2">
      <c r="A31" s="3" t="s">
        <v>59</v>
      </c>
      <c r="B31" s="3" t="s">
        <v>65</v>
      </c>
      <c r="C31" s="3">
        <v>-0.95007229999999998</v>
      </c>
      <c r="D31" s="3">
        <v>-0.167494</v>
      </c>
      <c r="F31" s="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B154-D04F-3E4C-A32E-628D0CE51CD0}">
  <dimension ref="A1:G13"/>
  <sheetViews>
    <sheetView workbookViewId="0">
      <selection activeCell="E2" sqref="E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4">
        <v>2.5000000000000001E-2</v>
      </c>
      <c r="D1" s="5">
        <v>0.97499999999999998</v>
      </c>
      <c r="E1" s="1" t="s">
        <v>2</v>
      </c>
      <c r="F1" s="1" t="s">
        <v>3</v>
      </c>
      <c r="G1" s="1" t="s">
        <v>4</v>
      </c>
    </row>
    <row r="2" spans="1:7" x14ac:dyDescent="0.2">
      <c r="A2" s="1" t="s">
        <v>10</v>
      </c>
      <c r="B2" s="1" t="s">
        <v>11</v>
      </c>
      <c r="C2">
        <v>-16.585999999999999</v>
      </c>
      <c r="D2">
        <v>-0.98399999999999999</v>
      </c>
      <c r="E2" s="1"/>
      <c r="F2" t="s">
        <v>68</v>
      </c>
    </row>
    <row r="3" spans="1:7" s="3" customFormat="1" x14ac:dyDescent="0.2">
      <c r="A3" s="3" t="s">
        <v>5</v>
      </c>
      <c r="B3" s="3" t="s">
        <v>12</v>
      </c>
      <c r="C3" s="3">
        <v>-0.80200000000000005</v>
      </c>
      <c r="D3" s="3">
        <v>7.9269999999999996</v>
      </c>
      <c r="E3" s="1"/>
      <c r="F3" s="3" t="s">
        <v>67</v>
      </c>
    </row>
    <row r="4" spans="1:7" s="3" customFormat="1" x14ac:dyDescent="0.2">
      <c r="A4" s="3" t="s">
        <v>6</v>
      </c>
      <c r="B4" s="3" t="s">
        <v>13</v>
      </c>
      <c r="C4" s="3">
        <v>-20.102</v>
      </c>
      <c r="D4" s="3">
        <v>0.22500000000000001</v>
      </c>
      <c r="E4" s="1"/>
      <c r="F4" s="3" t="s">
        <v>67</v>
      </c>
    </row>
    <row r="5" spans="1:7" s="3" customFormat="1" x14ac:dyDescent="0.2">
      <c r="A5" s="3" t="s">
        <v>7</v>
      </c>
      <c r="B5" s="3" t="s">
        <v>14</v>
      </c>
      <c r="C5" s="3">
        <v>-3.0310000000000001</v>
      </c>
      <c r="D5" s="3">
        <v>6.1139999999999999</v>
      </c>
      <c r="E5" s="1"/>
      <c r="F5" s="3" t="s">
        <v>67</v>
      </c>
    </row>
    <row r="6" spans="1:7" s="3" customFormat="1" x14ac:dyDescent="0.2">
      <c r="A6" s="3" t="s">
        <v>8</v>
      </c>
      <c r="B6" s="3" t="s">
        <v>15</v>
      </c>
      <c r="C6" s="3">
        <v>-16.359000000000002</v>
      </c>
      <c r="D6" s="3">
        <v>0.59399999999999997</v>
      </c>
      <c r="E6" s="1"/>
      <c r="F6" s="3" t="s">
        <v>67</v>
      </c>
    </row>
    <row r="7" spans="1:7" s="3" customFormat="1" x14ac:dyDescent="0.2">
      <c r="A7" s="3" t="s">
        <v>9</v>
      </c>
      <c r="B7" s="3" t="s">
        <v>16</v>
      </c>
      <c r="C7" s="3">
        <v>-1.6990000000000001</v>
      </c>
      <c r="D7" s="3">
        <v>22.390999999999998</v>
      </c>
      <c r="E7" s="1"/>
      <c r="F7" s="3" t="s">
        <v>67</v>
      </c>
    </row>
    <row r="8" spans="1:7" s="3" customFormat="1" x14ac:dyDescent="0.2">
      <c r="A8" s="3" t="s">
        <v>17</v>
      </c>
      <c r="B8" s="3" t="s">
        <v>23</v>
      </c>
      <c r="C8" s="3">
        <v>-10.725</v>
      </c>
      <c r="D8" s="3">
        <v>6.6000000000000003E-2</v>
      </c>
      <c r="E8" s="1"/>
      <c r="F8" s="3" t="s">
        <v>67</v>
      </c>
    </row>
    <row r="9" spans="1:7" s="3" customFormat="1" x14ac:dyDescent="0.2">
      <c r="A9" s="3" t="s">
        <v>18</v>
      </c>
      <c r="B9" s="3" t="s">
        <v>24</v>
      </c>
      <c r="C9" s="3">
        <v>-0.154</v>
      </c>
      <c r="D9" s="3">
        <v>7.1529999999999996</v>
      </c>
      <c r="E9" s="1"/>
      <c r="F9" s="3" t="s">
        <v>67</v>
      </c>
    </row>
    <row r="10" spans="1:7" s="3" customFormat="1" x14ac:dyDescent="0.2">
      <c r="A10" s="3" t="s">
        <v>19</v>
      </c>
      <c r="B10" s="3" t="s">
        <v>25</v>
      </c>
      <c r="C10" s="3">
        <v>-21.530999999999999</v>
      </c>
      <c r="D10" s="3">
        <v>6.9420000000000002</v>
      </c>
      <c r="E10" s="1"/>
      <c r="F10" s="3" t="s">
        <v>67</v>
      </c>
    </row>
    <row r="11" spans="1:7" s="1" customFormat="1" x14ac:dyDescent="0.2">
      <c r="A11" s="1" t="s">
        <v>20</v>
      </c>
      <c r="B11" s="1" t="s">
        <v>26</v>
      </c>
      <c r="C11" s="1">
        <v>-15.602</v>
      </c>
      <c r="D11" s="1">
        <v>-0.61499999999999999</v>
      </c>
      <c r="F11" s="3" t="s">
        <v>68</v>
      </c>
    </row>
    <row r="12" spans="1:7" s="3" customFormat="1" x14ac:dyDescent="0.2">
      <c r="A12" s="3" t="s">
        <v>21</v>
      </c>
      <c r="B12" s="3" t="s">
        <v>27</v>
      </c>
      <c r="C12" s="3">
        <v>-1.5920000000000001</v>
      </c>
      <c r="D12" s="3">
        <v>2.508</v>
      </c>
      <c r="E12" s="1"/>
      <c r="F12" s="3" t="s">
        <v>67</v>
      </c>
    </row>
    <row r="13" spans="1:7" s="3" customFormat="1" x14ac:dyDescent="0.2">
      <c r="A13" s="3" t="s">
        <v>22</v>
      </c>
      <c r="B13" s="3" t="s">
        <v>28</v>
      </c>
      <c r="C13" s="3">
        <v>-3.8809999999999998</v>
      </c>
      <c r="D13" s="3">
        <v>22.367000000000001</v>
      </c>
      <c r="F13" s="3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EEAB-0BD2-B541-AA34-93B8BD292F2F}">
  <dimension ref="A1:G13"/>
  <sheetViews>
    <sheetView workbookViewId="0">
      <selection activeCell="A8" sqref="A8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4">
        <v>2.5000000000000001E-2</v>
      </c>
      <c r="D1" s="5">
        <v>0.97499999999999998</v>
      </c>
      <c r="E1" s="1" t="s">
        <v>2</v>
      </c>
      <c r="F1" s="1" t="s">
        <v>3</v>
      </c>
      <c r="G1" s="1" t="s">
        <v>4</v>
      </c>
    </row>
    <row r="2" spans="1:7" s="1" customFormat="1" x14ac:dyDescent="0.2">
      <c r="A2" s="1" t="s">
        <v>10</v>
      </c>
      <c r="B2" s="1" t="s">
        <v>11</v>
      </c>
      <c r="C2" s="1">
        <v>-5.3209999999999997</v>
      </c>
      <c r="D2" s="1">
        <v>-2.4E-2</v>
      </c>
      <c r="F2" s="1" t="s">
        <v>67</v>
      </c>
    </row>
    <row r="3" spans="1:7" s="3" customFormat="1" x14ac:dyDescent="0.2">
      <c r="A3" s="3" t="s">
        <v>5</v>
      </c>
      <c r="B3" s="3" t="s">
        <v>12</v>
      </c>
      <c r="C3" s="3">
        <v>-0.64700000000000002</v>
      </c>
      <c r="D3" s="3">
        <v>0.70899999999999996</v>
      </c>
      <c r="F3" s="3" t="s">
        <v>67</v>
      </c>
    </row>
    <row r="4" spans="1:7" s="3" customFormat="1" x14ac:dyDescent="0.2">
      <c r="A4" s="3" t="s">
        <v>6</v>
      </c>
      <c r="B4" s="3" t="s">
        <v>13</v>
      </c>
      <c r="C4" s="3">
        <v>-1.0900000000000001</v>
      </c>
      <c r="D4" s="3">
        <v>0.55000000000000004</v>
      </c>
      <c r="F4" s="3" t="s">
        <v>67</v>
      </c>
    </row>
    <row r="5" spans="1:7" s="3" customFormat="1" x14ac:dyDescent="0.2">
      <c r="A5" s="3" t="s">
        <v>7</v>
      </c>
      <c r="B5" s="3" t="s">
        <v>14</v>
      </c>
      <c r="C5" s="3">
        <v>-0.38500000000000001</v>
      </c>
      <c r="D5" s="3">
        <v>1.2589999999999999</v>
      </c>
      <c r="F5" s="3" t="s">
        <v>67</v>
      </c>
    </row>
    <row r="6" spans="1:7" s="3" customFormat="1" x14ac:dyDescent="0.2">
      <c r="A6" s="3" t="s">
        <v>8</v>
      </c>
      <c r="B6" s="3" t="s">
        <v>15</v>
      </c>
      <c r="C6" s="3">
        <v>-0.02</v>
      </c>
      <c r="D6" s="3">
        <v>1.581</v>
      </c>
      <c r="F6" s="3" t="s">
        <v>67</v>
      </c>
    </row>
    <row r="7" spans="1:7" x14ac:dyDescent="0.2">
      <c r="A7" s="1" t="s">
        <v>9</v>
      </c>
      <c r="B7" s="1" t="s">
        <v>16</v>
      </c>
      <c r="C7">
        <v>4.7149999999999999</v>
      </c>
      <c r="D7">
        <v>39.872999999999998</v>
      </c>
      <c r="F7" s="1" t="s">
        <v>68</v>
      </c>
    </row>
    <row r="8" spans="1:7" x14ac:dyDescent="0.2">
      <c r="A8" s="1"/>
    </row>
    <row r="9" spans="1:7" x14ac:dyDescent="0.2">
      <c r="A9" s="1"/>
    </row>
    <row r="10" spans="1:7" x14ac:dyDescent="0.2">
      <c r="A10" s="1"/>
    </row>
    <row r="11" spans="1:7" x14ac:dyDescent="0.2">
      <c r="A11" s="1"/>
    </row>
    <row r="12" spans="1:7" x14ac:dyDescent="0.2">
      <c r="A12" s="1"/>
    </row>
    <row r="13" spans="1:7" x14ac:dyDescent="0.2">
      <c r="A1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689B-A96A-0343-93CA-AECA59A62D48}">
  <dimension ref="A1:G31"/>
  <sheetViews>
    <sheetView workbookViewId="0">
      <selection activeCell="F32" sqref="F3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4">
        <v>2.5000000000000001E-2</v>
      </c>
      <c r="D1" s="5">
        <v>0.97499999999999998</v>
      </c>
      <c r="E1" s="1" t="s">
        <v>2</v>
      </c>
      <c r="F1" s="1" t="s">
        <v>3</v>
      </c>
      <c r="G1" s="1" t="s">
        <v>4</v>
      </c>
    </row>
    <row r="2" spans="1:7" x14ac:dyDescent="0.2">
      <c r="A2" s="1" t="s">
        <v>10</v>
      </c>
      <c r="B2" s="1" t="s">
        <v>29</v>
      </c>
      <c r="C2">
        <v>9.2999999999999999E-2</v>
      </c>
      <c r="D2">
        <v>1.3640000000000001</v>
      </c>
      <c r="F2" t="s">
        <v>68</v>
      </c>
    </row>
    <row r="3" spans="1:7" s="3" customFormat="1" x14ac:dyDescent="0.2">
      <c r="A3" s="3" t="s">
        <v>5</v>
      </c>
      <c r="B3" s="3" t="s">
        <v>30</v>
      </c>
      <c r="C3" s="3">
        <v>-0.44500000000000001</v>
      </c>
      <c r="D3" s="3">
        <v>0.52200000000000002</v>
      </c>
      <c r="F3" s="3" t="s">
        <v>67</v>
      </c>
    </row>
    <row r="4" spans="1:7" s="3" customFormat="1" x14ac:dyDescent="0.2">
      <c r="A4" s="3" t="s">
        <v>6</v>
      </c>
      <c r="B4" s="3" t="s">
        <v>31</v>
      </c>
      <c r="C4" s="3">
        <v>-0.73499999999999999</v>
      </c>
      <c r="D4" s="3">
        <v>0.621</v>
      </c>
      <c r="F4" s="3" t="s">
        <v>67</v>
      </c>
    </row>
    <row r="5" spans="1:7" s="3" customFormat="1" x14ac:dyDescent="0.2">
      <c r="A5" s="3" t="s">
        <v>7</v>
      </c>
      <c r="B5" s="3" t="s">
        <v>32</v>
      </c>
      <c r="C5" s="3">
        <v>-0.58899999999999997</v>
      </c>
      <c r="D5" s="3">
        <v>0.748</v>
      </c>
      <c r="F5" s="3" t="s">
        <v>67</v>
      </c>
    </row>
    <row r="6" spans="1:7" s="3" customFormat="1" x14ac:dyDescent="0.2">
      <c r="A6" s="3" t="s">
        <v>8</v>
      </c>
      <c r="B6" s="3" t="s">
        <v>33</v>
      </c>
      <c r="C6" s="3">
        <v>-0.56299999999999994</v>
      </c>
      <c r="D6" s="3">
        <v>0.45400000000000001</v>
      </c>
      <c r="F6" s="3" t="s">
        <v>67</v>
      </c>
    </row>
    <row r="7" spans="1:7" s="3" customFormat="1" x14ac:dyDescent="0.2">
      <c r="A7" s="3" t="s">
        <v>9</v>
      </c>
      <c r="B7" s="3" t="s">
        <v>34</v>
      </c>
      <c r="C7" s="3">
        <v>-0.79900000000000004</v>
      </c>
      <c r="D7" s="3">
        <v>0.61399999999999999</v>
      </c>
      <c r="F7" s="3" t="s">
        <v>67</v>
      </c>
    </row>
    <row r="8" spans="1:7" s="3" customFormat="1" x14ac:dyDescent="0.2">
      <c r="A8" s="3" t="s">
        <v>17</v>
      </c>
      <c r="B8" s="3" t="s">
        <v>35</v>
      </c>
      <c r="C8" s="3">
        <v>-0.44500000000000001</v>
      </c>
      <c r="D8" s="3">
        <v>0.52200000000000002</v>
      </c>
      <c r="F8" s="3" t="s">
        <v>67</v>
      </c>
    </row>
    <row r="9" spans="1:7" x14ac:dyDescent="0.2">
      <c r="A9" t="s">
        <v>18</v>
      </c>
      <c r="B9" s="1" t="s">
        <v>36</v>
      </c>
      <c r="C9">
        <v>9.5000000000000001E-2</v>
      </c>
      <c r="D9">
        <v>1.4319999999999999</v>
      </c>
      <c r="F9" s="3" t="s">
        <v>68</v>
      </c>
    </row>
    <row r="10" spans="1:7" s="3" customFormat="1" x14ac:dyDescent="0.2">
      <c r="A10" s="3" t="s">
        <v>19</v>
      </c>
      <c r="B10" s="3" t="s">
        <v>37</v>
      </c>
      <c r="C10" s="3">
        <v>-0.69799999999999995</v>
      </c>
      <c r="D10" s="3">
        <v>0.69399999999999995</v>
      </c>
      <c r="F10" s="3" t="s">
        <v>67</v>
      </c>
    </row>
    <row r="11" spans="1:7" s="3" customFormat="1" x14ac:dyDescent="0.2">
      <c r="A11" s="3" t="s">
        <v>20</v>
      </c>
      <c r="B11" s="3" t="s">
        <v>38</v>
      </c>
      <c r="C11" s="3">
        <v>-0.70699999999999996</v>
      </c>
      <c r="D11" s="3">
        <v>0.64400000000000002</v>
      </c>
      <c r="F11" s="3" t="s">
        <v>67</v>
      </c>
    </row>
    <row r="12" spans="1:7" s="3" customFormat="1" x14ac:dyDescent="0.2">
      <c r="A12" s="3" t="s">
        <v>21</v>
      </c>
      <c r="B12" s="3" t="s">
        <v>66</v>
      </c>
      <c r="C12" s="3">
        <v>-0.51700000000000002</v>
      </c>
      <c r="D12" s="3">
        <v>0.505</v>
      </c>
      <c r="F12" s="3" t="s">
        <v>67</v>
      </c>
    </row>
    <row r="13" spans="1:7" s="3" customFormat="1" x14ac:dyDescent="0.2">
      <c r="A13" s="3" t="s">
        <v>22</v>
      </c>
      <c r="B13" s="3" t="s">
        <v>39</v>
      </c>
      <c r="C13" s="3">
        <v>-0.63400000000000001</v>
      </c>
      <c r="D13" s="3">
        <v>0.78100000000000003</v>
      </c>
      <c r="F13" s="3" t="s">
        <v>67</v>
      </c>
    </row>
    <row r="14" spans="1:7" s="3" customFormat="1" x14ac:dyDescent="0.2">
      <c r="A14" s="3" t="s">
        <v>40</v>
      </c>
      <c r="B14" s="3" t="s">
        <v>11</v>
      </c>
      <c r="C14" s="3">
        <v>-0.73499999999999999</v>
      </c>
      <c r="D14" s="3">
        <v>0.621</v>
      </c>
      <c r="F14" s="3" t="s">
        <v>67</v>
      </c>
    </row>
    <row r="15" spans="1:7" s="3" customFormat="1" x14ac:dyDescent="0.2">
      <c r="A15" s="3" t="s">
        <v>41</v>
      </c>
      <c r="B15" s="3" t="s">
        <v>12</v>
      </c>
      <c r="C15" s="3">
        <v>-0.69799999999999995</v>
      </c>
      <c r="D15" s="3">
        <v>0.69399999999999995</v>
      </c>
      <c r="F15" s="3" t="s">
        <v>67</v>
      </c>
    </row>
    <row r="16" spans="1:7" x14ac:dyDescent="0.2">
      <c r="A16" s="1" t="s">
        <v>42</v>
      </c>
      <c r="B16" s="1" t="s">
        <v>46</v>
      </c>
      <c r="C16">
        <v>0.114</v>
      </c>
      <c r="D16">
        <v>2.835</v>
      </c>
      <c r="F16" s="3" t="s">
        <v>68</v>
      </c>
    </row>
    <row r="17" spans="1:6" s="3" customFormat="1" x14ac:dyDescent="0.2">
      <c r="A17" s="3" t="s">
        <v>43</v>
      </c>
      <c r="B17" s="3" t="s">
        <v>14</v>
      </c>
      <c r="C17" s="3">
        <v>-0.99099999999999999</v>
      </c>
      <c r="D17" s="3">
        <v>1.0389999999999999</v>
      </c>
      <c r="F17" s="3" t="s">
        <v>67</v>
      </c>
    </row>
    <row r="18" spans="1:6" s="3" customFormat="1" x14ac:dyDescent="0.2">
      <c r="A18" s="3" t="s">
        <v>44</v>
      </c>
      <c r="B18" s="3" t="s">
        <v>15</v>
      </c>
      <c r="C18" s="3">
        <v>-0.70499999999999996</v>
      </c>
      <c r="D18" s="3">
        <v>0.76900000000000002</v>
      </c>
      <c r="F18" s="3" t="s">
        <v>67</v>
      </c>
    </row>
    <row r="19" spans="1:6" s="3" customFormat="1" x14ac:dyDescent="0.2">
      <c r="A19" s="3" t="s">
        <v>45</v>
      </c>
      <c r="B19" s="3" t="s">
        <v>16</v>
      </c>
      <c r="C19" s="3">
        <v>-1.1579999999999999</v>
      </c>
      <c r="D19" s="3">
        <v>1.0860000000000001</v>
      </c>
      <c r="F19" s="3" t="s">
        <v>67</v>
      </c>
    </row>
    <row r="20" spans="1:6" s="3" customFormat="1" x14ac:dyDescent="0.2">
      <c r="A20" s="3" t="s">
        <v>47</v>
      </c>
      <c r="B20" s="3" t="s">
        <v>23</v>
      </c>
      <c r="C20" s="3">
        <v>-0.58899999999999997</v>
      </c>
      <c r="D20" s="3">
        <v>0.748</v>
      </c>
      <c r="F20" s="3" t="s">
        <v>67</v>
      </c>
    </row>
    <row r="21" spans="1:6" s="3" customFormat="1" x14ac:dyDescent="0.2">
      <c r="A21" s="3" t="s">
        <v>48</v>
      </c>
      <c r="B21" s="3" t="s">
        <v>24</v>
      </c>
      <c r="C21" s="3">
        <v>-0.70699999999999996</v>
      </c>
      <c r="D21" s="3">
        <v>0.64400000000000002</v>
      </c>
      <c r="F21" s="3" t="s">
        <v>67</v>
      </c>
    </row>
    <row r="22" spans="1:6" s="3" customFormat="1" x14ac:dyDescent="0.2">
      <c r="A22" s="3" t="s">
        <v>49</v>
      </c>
      <c r="B22" s="3" t="s">
        <v>53</v>
      </c>
      <c r="C22" s="3">
        <v>-0.99099999999999999</v>
      </c>
      <c r="D22" s="3">
        <v>1.0389999999999999</v>
      </c>
      <c r="F22" s="3" t="s">
        <v>67</v>
      </c>
    </row>
    <row r="23" spans="1:6" x14ac:dyDescent="0.2">
      <c r="A23" s="1" t="s">
        <v>50</v>
      </c>
      <c r="B23" s="1" t="s">
        <v>26</v>
      </c>
      <c r="C23">
        <v>0.123</v>
      </c>
      <c r="D23">
        <v>2.4990000000000001</v>
      </c>
      <c r="F23" s="3" t="s">
        <v>68</v>
      </c>
    </row>
    <row r="24" spans="1:6" s="3" customFormat="1" x14ac:dyDescent="0.2">
      <c r="A24" s="3" t="s">
        <v>51</v>
      </c>
      <c r="B24" s="3" t="s">
        <v>27</v>
      </c>
      <c r="C24" s="3">
        <v>-0.871</v>
      </c>
      <c r="D24" s="3">
        <v>0.57299999999999995</v>
      </c>
      <c r="F24" s="3" t="s">
        <v>67</v>
      </c>
    </row>
    <row r="25" spans="1:6" s="3" customFormat="1" x14ac:dyDescent="0.2">
      <c r="A25" s="3" t="s">
        <v>52</v>
      </c>
      <c r="B25" s="3" t="s">
        <v>28</v>
      </c>
      <c r="C25" s="3">
        <v>-1.498</v>
      </c>
      <c r="D25" s="3">
        <v>0.442</v>
      </c>
      <c r="F25" s="3" t="s">
        <v>67</v>
      </c>
    </row>
    <row r="26" spans="1:6" s="3" customFormat="1" x14ac:dyDescent="0.2">
      <c r="A26" s="3" t="s">
        <v>54</v>
      </c>
      <c r="B26" s="3" t="s">
        <v>60</v>
      </c>
      <c r="C26" s="3">
        <v>-0.56299999999999994</v>
      </c>
      <c r="D26" s="3">
        <v>0.45400000000000001</v>
      </c>
      <c r="F26" s="3" t="s">
        <v>67</v>
      </c>
    </row>
    <row r="27" spans="1:6" s="3" customFormat="1" x14ac:dyDescent="0.2">
      <c r="A27" s="3" t="s">
        <v>55</v>
      </c>
      <c r="B27" s="3" t="s">
        <v>61</v>
      </c>
      <c r="C27" s="3">
        <v>-0.51700000000000002</v>
      </c>
      <c r="D27" s="3">
        <v>0.505</v>
      </c>
      <c r="F27" s="3" t="s">
        <v>67</v>
      </c>
    </row>
    <row r="28" spans="1:6" s="3" customFormat="1" x14ac:dyDescent="0.2">
      <c r="A28" s="3" t="s">
        <v>56</v>
      </c>
      <c r="B28" s="3" t="s">
        <v>62</v>
      </c>
      <c r="C28" s="3">
        <v>-0.70499999999999996</v>
      </c>
      <c r="D28" s="3">
        <v>0.76900000000000002</v>
      </c>
      <c r="F28" s="3" t="s">
        <v>67</v>
      </c>
    </row>
    <row r="29" spans="1:6" s="3" customFormat="1" x14ac:dyDescent="0.2">
      <c r="A29" s="3" t="s">
        <v>57</v>
      </c>
      <c r="B29" s="3" t="s">
        <v>63</v>
      </c>
      <c r="C29" s="3">
        <v>-0.871</v>
      </c>
      <c r="D29" s="3">
        <v>0.57299999999999995</v>
      </c>
      <c r="F29" s="3" t="s">
        <v>67</v>
      </c>
    </row>
    <row r="30" spans="1:6" x14ac:dyDescent="0.2">
      <c r="A30" t="s">
        <v>58</v>
      </c>
      <c r="B30" s="1" t="s">
        <v>64</v>
      </c>
      <c r="C30">
        <v>0.10100000000000001</v>
      </c>
      <c r="D30">
        <v>1.58</v>
      </c>
      <c r="F30" s="3" t="s">
        <v>68</v>
      </c>
    </row>
    <row r="31" spans="1:6" s="3" customFormat="1" x14ac:dyDescent="0.2">
      <c r="A31" s="3" t="s">
        <v>59</v>
      </c>
      <c r="B31" s="3" t="s">
        <v>65</v>
      </c>
      <c r="C31" s="3">
        <v>-0.78700000000000003</v>
      </c>
      <c r="D31" s="3">
        <v>0.68</v>
      </c>
      <c r="F31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WPH80</vt:lpstr>
      <vt:lpstr>SCTLD80</vt:lpstr>
      <vt:lpstr>Unknown80</vt:lpstr>
      <vt:lpstr>WPH95</vt:lpstr>
      <vt:lpstr>SCTLD95</vt:lpstr>
      <vt:lpstr>Unknown95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Gillian Coleman</dc:creator>
  <cp:lastModifiedBy>Gillian Coleman</cp:lastModifiedBy>
  <dcterms:created xsi:type="dcterms:W3CDTF">2026-01-16T12:47:14Z</dcterms:created>
  <dcterms:modified xsi:type="dcterms:W3CDTF">2026-01-22T17:27:55Z</dcterms:modified>
</cp:coreProperties>
</file>